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96" windowWidth="15300" windowHeight="8760" activeTab="1"/>
  </bookViews>
  <sheets>
    <sheet name="Plan1" sheetId="2" r:id="rId1"/>
    <sheet name="Despesa_Por_Instituição_2023" sheetId="1" r:id="rId2"/>
  </sheets>
  <calcPr calcId="0"/>
</workbook>
</file>

<file path=xl/calcChain.xml><?xml version="1.0" encoding="utf-8"?>
<calcChain xmlns="http://schemas.openxmlformats.org/spreadsheetml/2006/main">
  <c r="D19" i="1" l="1"/>
  <c r="B19" i="1"/>
  <c r="C19" i="1"/>
  <c r="E19" i="1"/>
</calcChain>
</file>

<file path=xl/sharedStrings.xml><?xml version="1.0" encoding="utf-8"?>
<sst xmlns="http://schemas.openxmlformats.org/spreadsheetml/2006/main" count="23" uniqueCount="23">
  <si>
    <t>Instituição</t>
  </si>
  <si>
    <t>Empenhado</t>
  </si>
  <si>
    <t>Anulado</t>
  </si>
  <si>
    <t>Liquidado</t>
  </si>
  <si>
    <t>Pago</t>
  </si>
  <si>
    <t>SOMAR</t>
  </si>
  <si>
    <t>PREFEITURA MUNICIPAL DE MARICA</t>
  </si>
  <si>
    <t>INSTITUTO DE SEGURIDADE SOCIAL DE MARICA</t>
  </si>
  <si>
    <t>INSTITUTO DE CIÊNCIA TEC E INOV DE MARICÁ</t>
  </si>
  <si>
    <t>INST MUN DE INFORMAÇÃO E PESQUISA DARCY RIBEIRO</t>
  </si>
  <si>
    <t>FUNDO MUNICIPAL DE SAUDE</t>
  </si>
  <si>
    <t>FUNDO MUNICIPAL DE PROTEÇÃO E CONSERVAÇÃO AMBIENTAL</t>
  </si>
  <si>
    <t>FUNDO MUNICIPAL DE HABITAÇÃO</t>
  </si>
  <si>
    <t>FUNDO MUNICIPAL DE ASSISTENCIA SOCIAL DE MARICA</t>
  </si>
  <si>
    <t>FUNDO MUN PARA O ATEND DOS DIREITOS DA CRIANÇA E DO ADOLESCENTE</t>
  </si>
  <si>
    <t>FUNDO ESPECIAL DA PROCURADORIA GERAL DO MUNICÍPIO DE MARICÁ</t>
  </si>
  <si>
    <t>FUNDAÇÃO ESTATAL DE SAÚDE DE MARICA</t>
  </si>
  <si>
    <t>EMPRESA PUBLICA DE TRANSPORTE</t>
  </si>
  <si>
    <t>COMPANHIA MARICA ALIMENTOS</t>
  </si>
  <si>
    <t>COMPANHIA DESENVOLVIMENTO MARICA</t>
  </si>
  <si>
    <t>COMPANHIA DE SANEAMENTO DE MARICA S A</t>
  </si>
  <si>
    <t>CAMARA MUNICIPAL DE MARICA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</si>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</sst>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43" fontId="0" fillId="0" borderId="0" xfId="1" applyFont="1"/>
    <xf numFmtId="43" fontId="0" fillId="0" borderId="0" xfId="1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4" fontId="0" fillId="0" borderId="0" xfId="0" applyNumberFormat="1" applyBorder="1"/>
    <xf numFmtId="0" fontId="0" fillId="0" borderId="10" xfId="0" applyBorder="1"/>
    <xf numFmtId="4" fontId="0" fillId="0" borderId="11" xfId="0" applyNumberFormat="1" applyBorder="1"/>
    <xf numFmtId="4" fontId="0" fillId="0" borderId="12" xfId="0" applyNumberFormat="1" applyBorder="1"/>
    <xf numFmtId="0" fontId="0" fillId="0" borderId="13" xfId="0" applyBorder="1"/>
    <xf numFmtId="4" fontId="0" fillId="0" borderId="14" xfId="0" applyNumberFormat="1" applyBorder="1"/>
    <xf numFmtId="0" fontId="0" fillId="0" borderId="14" xfId="0" applyBorder="1"/>
    <xf numFmtId="0" fontId="0" fillId="0" borderId="15" xfId="0" applyBorder="1"/>
    <xf numFmtId="4" fontId="0" fillId="0" borderId="16" xfId="0" applyNumberFormat="1" applyBorder="1"/>
    <xf numFmtId="4" fontId="0" fillId="0" borderId="17" xfId="0" applyNumberFormat="1" applyBorder="1"/>
    <xf numFmtId="0" fontId="13" fillId="33" borderId="13" xfId="0" applyFont="1" applyFill="1" applyBorder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Neutra" xfId="9" builtinId="28" customBuiltin="1"/>
    <cellStyle name="Normal" xfId="0" builtinId="0"/>
    <cellStyle name="Nota" xfId="16" builtinId="10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  <cellStyle name="Vírgula" xfId="1" builtinId="3"/>
  </cellStyles>
  <dxfs count="5">
    <dxf>
      <numFmt numFmtId="4" formatCode="#,##0.00"/>
      <border diagonalUp="0" diagonalDown="0">
        <left/>
        <right style="thin">
          <color auto="1"/>
        </right>
        <top/>
        <bottom/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>
        <left style="thin">
          <color auto="1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ela1" displayName="Tabela1" ref="A1:E19" totalsRowShown="0">
  <autoFilter ref="A1:E19"/>
  <tableColumns count="5">
    <tableColumn id="1" name="Instituição" dataDxfId="4"/>
    <tableColumn id="2" name="Empenhado" dataDxfId="3"/>
    <tableColumn id="3" name="Anulado" dataDxfId="2"/>
    <tableColumn id="4" name="Liquidado" dataDxfId="1"/>
    <tableColumn id="5" name="Pago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3" sqref="A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5"/>
  <sheetViews>
    <sheetView tabSelected="1" workbookViewId="0">
      <selection activeCell="C5" sqref="C5"/>
    </sheetView>
  </sheetViews>
  <sheetFormatPr defaultRowHeight="14.4" x14ac:dyDescent="0.3"/>
  <cols>
    <col min="1" max="1" width="65.44140625" bestFit="1" customWidth="1"/>
    <col min="2" max="2" width="15.21875" customWidth="1"/>
    <col min="3" max="3" width="13.6640625" bestFit="1" customWidth="1"/>
    <col min="4" max="4" width="15.21875" bestFit="1" customWidth="1"/>
    <col min="5" max="5" width="16.6640625" bestFit="1" customWidth="1"/>
    <col min="6" max="6" width="8.88671875" style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/>
      <c r="G1" s="3"/>
      <c r="H1" s="3"/>
      <c r="I1" s="3"/>
      <c r="J1" s="3"/>
      <c r="K1" s="3"/>
      <c r="L1" s="3"/>
      <c r="M1" s="3"/>
      <c r="N1" s="3"/>
    </row>
    <row r="2" spans="1:14" x14ac:dyDescent="0.3">
      <c r="A2" s="6" t="s">
        <v>5</v>
      </c>
      <c r="B2" s="7">
        <v>1014976999.91</v>
      </c>
      <c r="C2" s="7">
        <v>74034985.030000001</v>
      </c>
      <c r="D2" s="7">
        <v>496852034.31</v>
      </c>
      <c r="E2" s="8">
        <v>496403560.01999998</v>
      </c>
      <c r="F2" s="3"/>
      <c r="G2" s="3"/>
      <c r="H2" s="3"/>
      <c r="I2" s="3"/>
      <c r="J2" s="3"/>
      <c r="K2" s="3"/>
      <c r="L2" s="3"/>
      <c r="M2" s="3"/>
      <c r="N2" s="3"/>
    </row>
    <row r="3" spans="1:14" x14ac:dyDescent="0.3">
      <c r="A3" s="9" t="s">
        <v>6</v>
      </c>
      <c r="B3" s="5">
        <v>2443874963.6999998</v>
      </c>
      <c r="C3" s="5">
        <v>482730848.10000002</v>
      </c>
      <c r="D3" s="5">
        <v>1047554910.09</v>
      </c>
      <c r="E3" s="10">
        <v>1042737263.53</v>
      </c>
      <c r="F3" s="2"/>
      <c r="G3" s="3"/>
      <c r="H3" s="3"/>
      <c r="I3" s="3"/>
      <c r="J3" s="3"/>
      <c r="K3" s="3"/>
      <c r="L3" s="3"/>
      <c r="M3" s="3"/>
      <c r="N3" s="3"/>
    </row>
    <row r="4" spans="1:14" x14ac:dyDescent="0.3">
      <c r="A4" s="9" t="s">
        <v>7</v>
      </c>
      <c r="B4" s="5">
        <v>104470148.36</v>
      </c>
      <c r="C4" s="5">
        <v>166698.75</v>
      </c>
      <c r="D4" s="5">
        <v>58161442.399999999</v>
      </c>
      <c r="E4" s="10">
        <v>58161442.399999999</v>
      </c>
      <c r="F4" s="2"/>
      <c r="G4" s="3"/>
      <c r="H4" s="3"/>
      <c r="I4" s="3"/>
      <c r="J4" s="3"/>
      <c r="K4" s="3"/>
      <c r="L4" s="3"/>
      <c r="M4" s="3"/>
      <c r="N4" s="3"/>
    </row>
    <row r="5" spans="1:14" x14ac:dyDescent="0.3">
      <c r="A5" s="9" t="s">
        <v>8</v>
      </c>
      <c r="B5" s="5">
        <v>60712897.5</v>
      </c>
      <c r="C5" s="5">
        <v>563816.29</v>
      </c>
      <c r="D5" s="5">
        <v>55013103.939999998</v>
      </c>
      <c r="E5" s="10">
        <v>55001628.289999999</v>
      </c>
      <c r="F5" s="2"/>
      <c r="G5" s="3"/>
      <c r="H5" s="3"/>
      <c r="I5" s="3"/>
      <c r="J5" s="3"/>
      <c r="K5" s="3"/>
      <c r="L5" s="3"/>
      <c r="M5" s="3"/>
      <c r="N5" s="3"/>
    </row>
    <row r="6" spans="1:14" x14ac:dyDescent="0.3">
      <c r="A6" s="9" t="s">
        <v>9</v>
      </c>
      <c r="B6" s="5">
        <v>15507089.6</v>
      </c>
      <c r="C6" s="5">
        <v>665970.76</v>
      </c>
      <c r="D6" s="5">
        <v>6210206.4800000004</v>
      </c>
      <c r="E6" s="10">
        <v>6210206.4800000004</v>
      </c>
      <c r="F6" s="2"/>
      <c r="G6" s="3"/>
      <c r="H6" s="3"/>
      <c r="I6" s="3"/>
      <c r="J6" s="3"/>
      <c r="K6" s="3"/>
      <c r="L6" s="3"/>
      <c r="M6" s="3"/>
      <c r="N6" s="3"/>
    </row>
    <row r="7" spans="1:14" x14ac:dyDescent="0.3">
      <c r="A7" s="9" t="s">
        <v>10</v>
      </c>
      <c r="B7" s="5">
        <v>913840029.61000001</v>
      </c>
      <c r="C7" s="5">
        <v>60805728.969999999</v>
      </c>
      <c r="D7" s="5">
        <v>452072011.02999997</v>
      </c>
      <c r="E7" s="10">
        <v>443735754.13</v>
      </c>
      <c r="F7" s="2"/>
      <c r="G7" s="3"/>
      <c r="H7" s="3"/>
      <c r="I7" s="3"/>
      <c r="J7" s="3"/>
      <c r="K7" s="3"/>
      <c r="L7" s="3"/>
      <c r="M7" s="3"/>
      <c r="N7" s="3"/>
    </row>
    <row r="8" spans="1:14" x14ac:dyDescent="0.3">
      <c r="A8" s="9" t="s">
        <v>11</v>
      </c>
      <c r="B8" s="5">
        <v>72001501.840000004</v>
      </c>
      <c r="C8" s="5">
        <v>3225822.16</v>
      </c>
      <c r="D8" s="5">
        <v>36158145.140000001</v>
      </c>
      <c r="E8" s="10">
        <v>36158145.140000001</v>
      </c>
      <c r="F8" s="2"/>
      <c r="G8" s="3"/>
      <c r="H8" s="3"/>
      <c r="I8" s="3"/>
      <c r="J8" s="3"/>
      <c r="K8" s="3"/>
      <c r="L8" s="3"/>
      <c r="M8" s="3"/>
      <c r="N8" s="3"/>
    </row>
    <row r="9" spans="1:14" x14ac:dyDescent="0.3">
      <c r="A9" s="9" t="s">
        <v>12</v>
      </c>
      <c r="B9" s="5">
        <v>8921023.0099999998</v>
      </c>
      <c r="C9" s="4">
        <v>0</v>
      </c>
      <c r="D9" s="5">
        <v>5882702.4500000002</v>
      </c>
      <c r="E9" s="10">
        <v>5882702.4500000002</v>
      </c>
      <c r="F9" s="2"/>
      <c r="G9" s="3"/>
      <c r="H9" s="3"/>
      <c r="I9" s="3"/>
      <c r="J9" s="3"/>
      <c r="K9" s="3"/>
      <c r="L9" s="3"/>
      <c r="M9" s="3"/>
      <c r="N9" s="3"/>
    </row>
    <row r="10" spans="1:14" x14ac:dyDescent="0.3">
      <c r="A10" s="9" t="s">
        <v>13</v>
      </c>
      <c r="B10" s="5">
        <v>16637158.939999999</v>
      </c>
      <c r="C10" s="5">
        <v>398785.22</v>
      </c>
      <c r="D10" s="5">
        <v>5726643.5800000001</v>
      </c>
      <c r="E10" s="10">
        <v>5726620.5800000001</v>
      </c>
      <c r="F10" s="2"/>
      <c r="G10" s="3"/>
      <c r="H10" s="3"/>
      <c r="I10" s="3"/>
      <c r="J10" s="3"/>
      <c r="K10" s="3"/>
      <c r="L10" s="3"/>
      <c r="M10" s="3"/>
      <c r="N10" s="3"/>
    </row>
    <row r="11" spans="1:14" x14ac:dyDescent="0.3">
      <c r="A11" s="9" t="s">
        <v>14</v>
      </c>
      <c r="B11" s="4">
        <v>100</v>
      </c>
      <c r="C11" s="4">
        <v>0</v>
      </c>
      <c r="D11" s="4">
        <v>100</v>
      </c>
      <c r="E11" s="11">
        <v>100</v>
      </c>
      <c r="F11" s="2"/>
      <c r="G11" s="3"/>
      <c r="H11" s="3"/>
      <c r="I11" s="3"/>
      <c r="J11" s="3"/>
      <c r="K11" s="3"/>
      <c r="L11" s="3"/>
      <c r="M11" s="3"/>
      <c r="N11" s="3"/>
    </row>
    <row r="12" spans="1:14" x14ac:dyDescent="0.3">
      <c r="A12" s="9" t="s">
        <v>15</v>
      </c>
      <c r="B12" s="5">
        <v>574896</v>
      </c>
      <c r="C12" s="4">
        <v>0</v>
      </c>
      <c r="D12" s="5">
        <v>247030</v>
      </c>
      <c r="E12" s="10">
        <v>218450.76</v>
      </c>
      <c r="F12" s="2"/>
      <c r="G12" s="3"/>
      <c r="H12" s="3"/>
      <c r="I12" s="3"/>
      <c r="J12" s="3"/>
      <c r="K12" s="3"/>
      <c r="L12" s="3"/>
      <c r="M12" s="3"/>
      <c r="N12" s="3"/>
    </row>
    <row r="13" spans="1:14" x14ac:dyDescent="0.3">
      <c r="A13" s="9" t="s">
        <v>16</v>
      </c>
      <c r="B13" s="5">
        <v>29124700.699999999</v>
      </c>
      <c r="C13" s="5">
        <v>188343.16</v>
      </c>
      <c r="D13" s="5">
        <v>26387861.350000001</v>
      </c>
      <c r="E13" s="10">
        <v>25389323.43</v>
      </c>
      <c r="F13" s="2"/>
      <c r="G13" s="3"/>
      <c r="H13" s="3"/>
      <c r="I13" s="3"/>
      <c r="J13" s="3"/>
      <c r="K13" s="3"/>
      <c r="L13" s="3"/>
      <c r="M13" s="3"/>
      <c r="N13" s="3"/>
    </row>
    <row r="14" spans="1:14" x14ac:dyDescent="0.3">
      <c r="A14" s="9" t="s">
        <v>17</v>
      </c>
      <c r="B14" s="5">
        <v>176242453.08000001</v>
      </c>
      <c r="C14" s="5">
        <v>32724181.390000001</v>
      </c>
      <c r="D14" s="5">
        <v>67754266.650000006</v>
      </c>
      <c r="E14" s="10">
        <v>66646226.920000002</v>
      </c>
      <c r="F14" s="2"/>
      <c r="G14" s="3"/>
      <c r="H14" s="3"/>
      <c r="I14" s="3"/>
      <c r="J14" s="3"/>
      <c r="K14" s="3"/>
      <c r="L14" s="3"/>
      <c r="M14" s="3"/>
      <c r="N14" s="3"/>
    </row>
    <row r="15" spans="1:14" x14ac:dyDescent="0.3">
      <c r="A15" s="9" t="s">
        <v>18</v>
      </c>
      <c r="B15" s="5">
        <v>20460949.789999999</v>
      </c>
      <c r="C15" s="5">
        <v>1132166.6599999999</v>
      </c>
      <c r="D15" s="5">
        <v>7342450.2000000002</v>
      </c>
      <c r="E15" s="10">
        <v>7338450.2000000002</v>
      </c>
      <c r="F15" s="2"/>
      <c r="G15" s="3"/>
      <c r="H15" s="3"/>
      <c r="I15" s="3"/>
      <c r="J15" s="3"/>
      <c r="K15" s="3"/>
      <c r="L15" s="3"/>
      <c r="M15" s="3"/>
      <c r="N15" s="3"/>
    </row>
    <row r="16" spans="1:14" x14ac:dyDescent="0.3">
      <c r="A16" s="9" t="s">
        <v>19</v>
      </c>
      <c r="B16" s="5">
        <v>318290601.70999998</v>
      </c>
      <c r="C16" s="5">
        <v>10414416.43</v>
      </c>
      <c r="D16" s="5">
        <v>158959709.38999999</v>
      </c>
      <c r="E16" s="10">
        <v>148669909.66</v>
      </c>
      <c r="F16" s="2"/>
      <c r="G16" s="3"/>
      <c r="H16" s="3"/>
      <c r="I16" s="3"/>
      <c r="J16" s="3"/>
      <c r="K16" s="3"/>
      <c r="L16" s="3"/>
      <c r="M16" s="3"/>
      <c r="N16" s="3"/>
    </row>
    <row r="17" spans="1:14" x14ac:dyDescent="0.3">
      <c r="A17" s="9" t="s">
        <v>20</v>
      </c>
      <c r="B17" s="5">
        <v>428737664.12</v>
      </c>
      <c r="C17" s="5">
        <v>91656189.650000006</v>
      </c>
      <c r="D17" s="5">
        <v>64731197.689999998</v>
      </c>
      <c r="E17" s="10">
        <v>64731197.689999998</v>
      </c>
      <c r="F17" s="2"/>
      <c r="G17" s="3"/>
      <c r="H17" s="3"/>
      <c r="I17" s="3"/>
      <c r="J17" s="3"/>
      <c r="K17" s="3"/>
      <c r="L17" s="3"/>
      <c r="M17" s="3"/>
      <c r="N17" s="3"/>
    </row>
    <row r="18" spans="1:14" x14ac:dyDescent="0.3">
      <c r="A18" s="12" t="s">
        <v>21</v>
      </c>
      <c r="B18" s="13">
        <v>42725607.460000001</v>
      </c>
      <c r="C18" s="13">
        <v>4595612.91</v>
      </c>
      <c r="D18" s="13">
        <v>25228958.41</v>
      </c>
      <c r="E18" s="14">
        <v>25226541.690000001</v>
      </c>
      <c r="F18" s="2"/>
      <c r="G18" s="3"/>
      <c r="H18" s="3"/>
      <c r="I18" s="3"/>
      <c r="J18" s="3"/>
      <c r="K18" s="3"/>
      <c r="L18" s="3"/>
      <c r="M18" s="3"/>
      <c r="N18" s="3"/>
    </row>
    <row r="19" spans="1:14" x14ac:dyDescent="0.3">
      <c r="A19" s="15" t="s">
        <v>22</v>
      </c>
      <c r="B19" s="15">
        <f>SUBTOTAL(109,B2:B18)</f>
        <v>5667098785.329999</v>
      </c>
      <c r="C19" s="15">
        <f>SUBTOTAL(109,C2:C18)</f>
        <v>763303565.47999978</v>
      </c>
      <c r="D19" s="15">
        <f>SUBTOTAL(109,D2:D18)</f>
        <v>2514282773.1099997</v>
      </c>
      <c r="E19" s="15">
        <f>SUBTOTAL(109,E2:E18)</f>
        <v>2488237523.3699999</v>
      </c>
      <c r="F19" s="2"/>
      <c r="G19" s="3"/>
      <c r="H19" s="3"/>
      <c r="I19" s="3"/>
      <c r="J19" s="3"/>
      <c r="K19" s="3"/>
      <c r="L19" s="3"/>
      <c r="M19" s="3"/>
      <c r="N19" s="3"/>
    </row>
    <row r="20" spans="1:14" x14ac:dyDescent="0.3">
      <c r="F20" s="2"/>
      <c r="G20" s="3"/>
      <c r="H20" s="3"/>
      <c r="I20" s="3"/>
      <c r="J20" s="3"/>
      <c r="K20" s="3"/>
      <c r="L20" s="3"/>
      <c r="M20" s="3"/>
      <c r="N20" s="3"/>
    </row>
    <row r="21" spans="1:14" x14ac:dyDescent="0.3">
      <c r="F21" s="2"/>
      <c r="G21" s="3"/>
      <c r="H21" s="3"/>
      <c r="I21" s="3"/>
      <c r="J21" s="3"/>
      <c r="K21" s="3"/>
      <c r="L21" s="3"/>
      <c r="M21" s="3"/>
      <c r="N21" s="3"/>
    </row>
    <row r="22" spans="1:14" x14ac:dyDescent="0.3">
      <c r="F22" s="2"/>
      <c r="G22" s="3"/>
      <c r="H22" s="3"/>
      <c r="I22" s="3"/>
      <c r="J22" s="3"/>
      <c r="K22" s="3"/>
      <c r="L22" s="3"/>
      <c r="M22" s="3"/>
      <c r="N22" s="3"/>
    </row>
    <row r="23" spans="1:14" x14ac:dyDescent="0.3">
      <c r="F23" s="2"/>
      <c r="G23" s="3"/>
      <c r="H23" s="3"/>
      <c r="I23" s="3"/>
      <c r="J23" s="3"/>
      <c r="K23" s="3"/>
      <c r="L23" s="3"/>
      <c r="M23" s="3"/>
      <c r="N23" s="3"/>
    </row>
    <row r="24" spans="1:14" x14ac:dyDescent="0.3">
      <c r="F24" s="2"/>
      <c r="G24" s="3"/>
      <c r="H24" s="3"/>
      <c r="I24" s="3"/>
      <c r="J24" s="3"/>
      <c r="K24" s="3"/>
      <c r="L24" s="3"/>
      <c r="M24" s="3"/>
      <c r="N24" s="3"/>
    </row>
    <row r="25" spans="1:14" x14ac:dyDescent="0.3">
      <c r="F25" s="2"/>
      <c r="G25" s="3"/>
      <c r="H25" s="3"/>
      <c r="I25" s="3"/>
      <c r="J25" s="3"/>
      <c r="K25" s="3"/>
      <c r="L25" s="3"/>
      <c r="M25" s="3"/>
      <c r="N25" s="3"/>
    </row>
  </sheetData>
  <dataConsolidate/>
  <conditionalFormatting sqref="E2:E18">
    <cfRule type="iconSet" priority="1">
      <iconSet iconSet="3Flag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Despesa_Por_Instituição_2023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2023-07-31T00:27:27Z</dcterms:created>
  <dcterms:modified xsi:type="dcterms:W3CDTF">2023-07-31T00:27:59Z</dcterms:modified>
</cp:coreProperties>
</file>